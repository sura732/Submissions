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504" windowWidth="23256" windowHeight="1317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30" i="18" l="1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</calcChain>
</file>

<file path=xl/sharedStrings.xml><?xml version="1.0" encoding="utf-8"?>
<sst xmlns="http://schemas.openxmlformats.org/spreadsheetml/2006/main" count="414" uniqueCount="190">
  <si>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</si>
  <si>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</si>
  <si>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</si>
  <si>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</si>
  <si>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</si>
  <si>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</si>
  <si>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</si>
  <si>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</si>
  <si>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</si>
  <si>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</si>
  <si>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</si>
  <si>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</si>
  <si>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</si>
  <si>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</si>
  <si>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</si>
  <si>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</si>
  <si>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</si>
  <si>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</si>
  <si>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</si>
  <si>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</si>
  <si>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</si>
  <si>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</si>
  <si>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</si>
  <si>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</si>
  <si>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</si>
  <si>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</si>
  <si>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</si>
  <si>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</si>
  <si>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</si>
  <si>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</si>
  <si>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</si>
  <si>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</si>
  <si>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</si>
  <si>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</si>
  <si>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</si>
  <si>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</si>
  <si>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</si>
  <si>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</si>
  <si>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</si>
  <si>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</si>
  <si>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</si>
  <si>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</si>
  <si>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</si>
  <si>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</si>
  <si>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</si>
  <si>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</si>
  <si>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</si>
  <si>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</si>
  <si>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</si>
  <si>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</si>
  <si>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</si>
  <si>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</si>
  <si>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</si>
  <si>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</si>
  <si>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</si>
  <si>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</si>
  <si>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</si>
  <si>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</si>
  <si>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</si>
  <si>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</si>
  <si>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</si>
  <si>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</si>
  <si>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</si>
  <si>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</si>
  <si>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</si>
  <si>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</si>
  <si>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</si>
  <si>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</si>
  <si>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</si>
  <si>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</si>
  <si>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</si>
  <si>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</si>
  <si>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</si>
  <si>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</si>
  <si>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</si>
  <si>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</si>
  <si>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</si>
  <si>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</si>
  <si>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</si>
  <si>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</si>
  <si>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</si>
  <si>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</si>
  <si>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</si>
  <si>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</si>
  <si>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</si>
  <si>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</si>
  <si>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</si>
  <si>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</si>
  <si>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</si>
  <si>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</si>
  <si>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</si>
  <si>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</si>
  <si>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</si>
  <si>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</si>
  <si>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</si>
  <si>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</si>
  <si>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</si>
  <si>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</si>
  <si>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</si>
  <si>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</si>
  <si>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</si>
  <si>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</si>
  <si>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</si>
  <si>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</si>
  <si>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</si>
  <si>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</si>
  <si>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</si>
  <si>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</si>
  <si>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</si>
  <si>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</si>
  <si>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</si>
  <si>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</si>
  <si>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</si>
  <si>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</si>
  <si>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</si>
  <si>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</si>
  <si>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</si>
  <si>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</si>
  <si>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</si>
  <si>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</si>
  <si>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</si>
  <si>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</si>
  <si>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</si>
  <si>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</si>
  <si>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</si>
  <si>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</si>
  <si>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</si>
  <si>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</si>
  <si>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</si>
  <si>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</si>
  <si>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</si>
  <si>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</si>
  <si>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</si>
  <si>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</si>
  <si>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</si>
  <si>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</si>
  <si>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</si>
  <si>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</si>
  <si>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</si>
  <si>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</si>
  <si>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</si>
  <si>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</si>
  <si>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</si>
  <si>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</si>
  <si>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</si>
  <si>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</si>
  <si>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</si>
  <si>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</si>
  <si>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</si>
  <si>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</si>
  <si>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</si>
  <si>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</si>
  <si>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</si>
  <si>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</si>
  <si>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</si>
  <si>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</si>
  <si>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</si>
  <si>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</si>
  <si>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</si>
  <si>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</si>
  <si>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</si>
  <si>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</si>
  <si>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</si>
  <si>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</si>
  <si>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</si>
  <si>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</si>
  <si>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</si>
  <si>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</si>
  <si>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</si>
  <si>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</si>
  <si>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</si>
  <si>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</si>
  <si>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</si>
  <si>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</si>
  <si>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</si>
  <si>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</si>
  <si>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</si>
  <si>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SUMIF(Dataset!$H$2:$H$40,"&gt;20")</t>
  </si>
  <si>
    <t>First select the date column -&gt;right click-&gt;format cells --&gt;custom--&gt;select date format according to requirements</t>
  </si>
  <si>
    <t>select first row --&gt; view --&gt; freeze panes --&gt;first row freeze</t>
  </si>
  <si>
    <t>Select Entire cells values columns  ---&gt;next data tab ---&gt;text to columns--&gt;select delimited --&gt;choose delimited according to column values  ---&gt;Provide destination --&gt; click finish.</t>
  </si>
  <si>
    <t>Functionality used</t>
  </si>
  <si>
    <t>1.Select the column containing your data.
2.Press Ctrl + H to open the Find and Replace dialog.
3.In the "Find what" field, enter "#N/A".
4.In the "Replace with" field, enter "20".
5.Click "Replace All" to replace all occurrences in the selected column.</t>
  </si>
  <si>
    <t>Replace with #N/A with 20 , sum all the values.</t>
  </si>
  <si>
    <t>IFERROR(VLOOKUP(B11, $B$11:$C$21, 2, FALSE), "20")</t>
  </si>
  <si>
    <t>VLOOKUP(A7,Dataset!A2:G41,13,)</t>
  </si>
  <si>
    <t>Formula</t>
  </si>
  <si>
    <t>Min</t>
  </si>
  <si>
    <t>Max</t>
  </si>
  <si>
    <t>INDEX($B$9:$J$18,MATCH(A23,$A$10:$A$18,0),MATCH(B23,$B$9:$J$9,0))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</si>
</sst>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2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b/>
      <sz val="10"/>
      <color rgb="FF020202"/>
      <name val="Inherit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rgb="FFEBEBEB"/>
      </left>
      <right style="mediumDashed">
        <color rgb="FFEBEBEB"/>
      </right>
      <top style="mediumDashed">
        <color rgb="FFEBEBEB"/>
      </top>
      <bottom style="mediumDashed">
        <color rgb="FFEBEBEB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0" fontId="17" fillId="0" borderId="0" xfId="0" applyFont="1"/>
    <xf numFmtId="166" fontId="3" fillId="0" borderId="0" xfId="0" applyNumberFormat="1" applyFont="1"/>
    <xf numFmtId="0" fontId="7" fillId="6" borderId="0" xfId="0" applyFont="1" applyFill="1"/>
    <xf numFmtId="0" fontId="8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8" fillId="0" borderId="12" xfId="0" applyFont="1" applyBorder="1" applyAlignment="1">
      <alignment vertical="center"/>
    </xf>
    <xf numFmtId="0" fontId="3" fillId="7" borderId="0" xfId="0" applyFont="1" applyFill="1" applyAlignment="1">
      <alignment wrapText="1"/>
    </xf>
    <xf numFmtId="0" fontId="19" fillId="7" borderId="1" xfId="0" applyFont="1" applyFill="1" applyBorder="1"/>
    <xf numFmtId="0" fontId="20" fillId="7" borderId="1" xfId="0" applyFont="1" applyFill="1" applyBorder="1"/>
    <xf numFmtId="0" fontId="0" fillId="0" borderId="1" xfId="0" applyBorder="1"/>
    <xf numFmtId="0" fontId="8" fillId="8" borderId="0" xfId="0" applyFont="1" applyFill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FF0000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7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4" t="s">
        <v>171</v>
      </c>
      <c r="B9" s="25" t="s">
        <v>169</v>
      </c>
    </row>
    <row r="10" spans="1:3">
      <c r="A10" s="33" t="s">
        <v>172</v>
      </c>
      <c r="B10" s="35">
        <v>25</v>
      </c>
    </row>
    <row r="11" spans="1:3">
      <c r="A11" s="33" t="s">
        <v>55</v>
      </c>
      <c r="B11" s="35">
        <v>30</v>
      </c>
    </row>
    <row r="12" spans="1:3">
      <c r="A12" s="33" t="s">
        <v>56</v>
      </c>
      <c r="B12" s="35">
        <v>10</v>
      </c>
    </row>
    <row r="13" spans="1:3">
      <c r="A13" s="33" t="s">
        <v>85</v>
      </c>
      <c r="B13" s="35">
        <v>20</v>
      </c>
    </row>
    <row r="14" spans="1:3">
      <c r="A14" s="33" t="s">
        <v>98</v>
      </c>
      <c r="B14" s="35">
        <v>40</v>
      </c>
    </row>
    <row r="15" spans="1: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6" activePane="bottomLeft" state="frozen"/>
      <selection pane="bottomLeft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0" width="13" style="1" customWidth="1"/>
    <col min="11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3">
        <v>-1</v>
      </c>
      <c r="K2" s="43">
        <v>-1</v>
      </c>
      <c r="L2" s="4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3">
        <v>-1</v>
      </c>
      <c r="K3" s="43">
        <v>-1</v>
      </c>
      <c r="L3" s="4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3">
        <v>-1</v>
      </c>
      <c r="K4" s="43">
        <v>-1</v>
      </c>
      <c r="L4" s="4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3">
        <v>-1</v>
      </c>
      <c r="K5" s="43">
        <v>-1</v>
      </c>
      <c r="L5" s="4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3">
        <v>-1</v>
      </c>
      <c r="K6" s="43">
        <v>-1</v>
      </c>
      <c r="L6" s="4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3">
        <v>-1</v>
      </c>
      <c r="K7" s="43">
        <v>-1</v>
      </c>
      <c r="L7" s="4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3">
        <v>-1</v>
      </c>
      <c r="K8" s="43">
        <v>-1</v>
      </c>
      <c r="L8" s="4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3">
        <v>-1</v>
      </c>
      <c r="K9" s="43">
        <v>-1</v>
      </c>
      <c r="L9" s="4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3">
        <v>-1</v>
      </c>
      <c r="K10" s="43">
        <v>-1</v>
      </c>
      <c r="L10" s="4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3">
        <v>-1</v>
      </c>
      <c r="K11" s="43">
        <v>-1</v>
      </c>
      <c r="L11" s="4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43">
        <v>0</v>
      </c>
      <c r="K12" s="43">
        <v>0</v>
      </c>
      <c r="L12" s="43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3">
        <v>-1</v>
      </c>
      <c r="K13" s="43">
        <v>-1</v>
      </c>
      <c r="L13" s="4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3">
        <v>-1</v>
      </c>
      <c r="K14" s="43">
        <v>-1</v>
      </c>
      <c r="L14" s="4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3">
        <v>-1</v>
      </c>
      <c r="K15" s="43">
        <v>-1</v>
      </c>
      <c r="L15" s="4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3">
        <v>-1</v>
      </c>
      <c r="K16" s="43">
        <v>-1</v>
      </c>
      <c r="L16" s="4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3">
        <v>-1</v>
      </c>
      <c r="K17" s="43">
        <v>-1</v>
      </c>
      <c r="L17" s="4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3">
        <v>-1</v>
      </c>
      <c r="K18" s="43">
        <v>-1</v>
      </c>
      <c r="L18" s="4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3">
        <v>-1</v>
      </c>
      <c r="K19" s="43">
        <v>-1</v>
      </c>
      <c r="L19" s="4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3">
        <v>-1</v>
      </c>
      <c r="K20" s="43">
        <v>-1</v>
      </c>
      <c r="L20" s="4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3">
        <v>-1</v>
      </c>
      <c r="K21" s="43">
        <v>-1</v>
      </c>
      <c r="L21" s="4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3">
        <v>-1</v>
      </c>
      <c r="K22" s="43">
        <v>-1</v>
      </c>
      <c r="L22" s="4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3">
        <v>-1</v>
      </c>
      <c r="K23" s="43">
        <v>-1</v>
      </c>
      <c r="L23" s="4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3">
        <v>-1</v>
      </c>
      <c r="K24" s="43">
        <v>-1</v>
      </c>
      <c r="L24" s="4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3">
        <v>-1</v>
      </c>
      <c r="K25" s="43">
        <v>-1</v>
      </c>
      <c r="L25" s="4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43">
        <v>0</v>
      </c>
      <c r="K26" s="43">
        <v>0</v>
      </c>
      <c r="L26" s="43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3">
        <v>-1</v>
      </c>
      <c r="K27" s="43">
        <v>-1</v>
      </c>
      <c r="L27" s="4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3">
        <v>-1</v>
      </c>
      <c r="K28" s="43">
        <v>-1</v>
      </c>
      <c r="L28" s="4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3">
        <v>-1</v>
      </c>
      <c r="K29" s="43">
        <v>-1</v>
      </c>
      <c r="L29" s="4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43">
        <v>-1</v>
      </c>
      <c r="K30" s="43">
        <v>-1</v>
      </c>
      <c r="L30" s="43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3">
        <v>-1</v>
      </c>
      <c r="K31" s="43">
        <v>-1</v>
      </c>
      <c r="L31" s="4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43">
        <v>-1</v>
      </c>
      <c r="K32" s="43">
        <v>-1</v>
      </c>
      <c r="L32" s="43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3">
        <v>-1</v>
      </c>
      <c r="K33" s="43">
        <v>-1</v>
      </c>
      <c r="L33" s="4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3">
        <v>-1</v>
      </c>
      <c r="K34" s="43">
        <v>-1</v>
      </c>
      <c r="L34" s="4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3">
        <v>-1</v>
      </c>
      <c r="K35" s="43">
        <v>-1</v>
      </c>
      <c r="L35" s="4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3">
        <v>-1</v>
      </c>
      <c r="K36" s="43">
        <v>-1</v>
      </c>
      <c r="L36" s="4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3">
        <v>-1</v>
      </c>
      <c r="K37" s="43">
        <v>-1</v>
      </c>
      <c r="L37" s="4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3">
        <v>-1</v>
      </c>
      <c r="K38" s="43">
        <v>-1</v>
      </c>
      <c r="L38" s="4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3">
        <v>-1</v>
      </c>
      <c r="K39" s="43">
        <v>-1</v>
      </c>
      <c r="L39" s="4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3">
        <v>-1</v>
      </c>
      <c r="K40" s="43">
        <v>-1</v>
      </c>
      <c r="L40" s="4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4" priority="7"/>
  </conditionalFormatting>
  <conditionalFormatting sqref="B1:B1048576">
    <cfRule type="duplicateValues" dxfId="3" priority="6"/>
  </conditionalFormatting>
  <conditionalFormatting sqref="J2:L40">
    <cfRule type="containsText" dxfId="2" priority="1" operator="containsText" text="0">
      <formula>NOT(ISERROR(SEARCH("0",J2)))</formula>
    </cfRule>
    <cfRule type="cellIs" dxfId="1" priority="3" operator="equal">
      <formula>1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4586BC4-2531-4EF0-A6F1-EFF8B07F90F6}">
            <xm:f>NOT(ISERROR(SEARCH(-1,J2)))</xm:f>
            <xm:f>-1</xm:f>
            <x14:dxf>
              <font>
                <color rgb="FFFF0000"/>
              </font>
            </x14:dxf>
          </x14:cfRule>
          <xm:sqref>J2:L40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3" sqref="C13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57" style="1" customWidth="1"/>
    <col min="4" max="4" width="12.109375" style="1" customWidth="1"/>
    <col min="5" max="5" width="39.44140625" style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 t="s">
        <v>179</v>
      </c>
      <c r="E4" s="1">
        <v>5</v>
      </c>
    </row>
    <row r="5" spans="1:5">
      <c r="A5" s="6">
        <v>3</v>
      </c>
      <c r="B5" s="2" t="s">
        <v>104</v>
      </c>
      <c r="C5" s="44" t="s">
        <v>177</v>
      </c>
      <c r="E5" s="1">
        <v>10</v>
      </c>
    </row>
    <row r="6" spans="1:5" ht="27.6">
      <c r="A6" s="6">
        <v>4</v>
      </c>
      <c r="B6" s="2" t="s">
        <v>106</v>
      </c>
      <c r="C6" s="47" t="s">
        <v>178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zoomScaleNormal="100" workbookViewId="0">
      <selection activeCell="H18" sqref="H18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30.109375" style="2" customWidth="1"/>
    <col min="9" max="16384" width="11" style="2"/>
  </cols>
  <sheetData>
    <row r="1" spans="1:8" s="39" customFormat="1" ht="21">
      <c r="A1" s="40" t="s">
        <v>55</v>
      </c>
      <c r="B1" s="39" t="s">
        <v>164</v>
      </c>
    </row>
    <row r="2" spans="1:8" s="39" customFormat="1" ht="21">
      <c r="B2" s="39" t="s">
        <v>161</v>
      </c>
    </row>
    <row r="3" spans="1:8" ht="14.4">
      <c r="A3" s="1"/>
      <c r="B3" s="1"/>
      <c r="C3" s="1"/>
      <c r="D3" s="1"/>
      <c r="E3" s="1"/>
      <c r="F3" s="1"/>
      <c r="G3" s="1"/>
    </row>
    <row r="4" spans="1:8" ht="23.4">
      <c r="A4" s="17" t="s">
        <v>162</v>
      </c>
      <c r="B4" s="1"/>
      <c r="C4" s="1"/>
      <c r="D4" s="1"/>
      <c r="E4" s="1"/>
      <c r="F4" s="1"/>
      <c r="G4" s="1"/>
    </row>
    <row r="5" spans="1:8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25" t="s">
        <v>186</v>
      </c>
    </row>
    <row r="6" spans="1:8" ht="14.4">
      <c r="A6" s="7" t="s">
        <v>40</v>
      </c>
      <c r="B6" s="11">
        <f>VLOOKUP(A6,Dataset!A1:G40,7,)</f>
        <v>2.7</v>
      </c>
      <c r="C6" s="11">
        <f>VLOOKUP($A6,Dataset!A1:N40,13,)</f>
        <v>5.3</v>
      </c>
      <c r="D6" s="11">
        <f>VLOOKUP($A6,Dataset!A1:R40,16,)</f>
        <v>2.7</v>
      </c>
      <c r="E6" s="11">
        <f>VLOOKUP($A6,Dataset!A1:T40,19,)</f>
        <v>7.6</v>
      </c>
      <c r="F6" s="11">
        <f>VLOOKUP($A6,Dataset!A1:V40,21,)</f>
        <v>3.6</v>
      </c>
      <c r="H6" s="24" t="s">
        <v>185</v>
      </c>
    </row>
    <row r="7" spans="1:8" ht="14.4">
      <c r="A7" s="7" t="s">
        <v>4</v>
      </c>
      <c r="B7" s="11">
        <f>VLOOKUP(A7,Dataset!A2:G41,7,)</f>
        <v>2.7</v>
      </c>
      <c r="C7" s="11">
        <f>VLOOKUP($A7,Dataset!A2:N41,13,)</f>
        <v>5.3</v>
      </c>
      <c r="D7" s="11">
        <f>VLOOKUP($A7,Dataset!A2:R41,16,)</f>
        <v>2.7</v>
      </c>
      <c r="E7" s="11">
        <f>VLOOKUP($A7,Dataset!A2:T41,19,)</f>
        <v>7.6</v>
      </c>
      <c r="F7" s="11">
        <f>VLOOKUP($A7,Dataset!A2:V41,21,)</f>
        <v>3.6</v>
      </c>
      <c r="H7" s="24" t="s">
        <v>187</v>
      </c>
    </row>
    <row r="8" spans="1:8" ht="14.4">
      <c r="A8" s="7" t="s">
        <v>7</v>
      </c>
      <c r="B8" s="11">
        <f>VLOOKUP(A8,Dataset!A3:G42,7,)</f>
        <v>3.6</v>
      </c>
      <c r="C8" s="11">
        <f>VLOOKUP($A8,Dataset!A3:N42,13,)</f>
        <v>7.6</v>
      </c>
      <c r="D8" s="11">
        <f>VLOOKUP($A8,Dataset!A3:R42,16,)</f>
        <v>3.6</v>
      </c>
      <c r="E8" s="11">
        <f>VLOOKUP($A8,Dataset!A3:T42,19,)</f>
        <v>11.1</v>
      </c>
      <c r="F8" s="11">
        <f>VLOOKUP($A8,Dataset!A3:V42,21,)</f>
        <v>5.4</v>
      </c>
      <c r="H8" s="24" t="s">
        <v>188</v>
      </c>
    </row>
    <row r="9" spans="1:8" ht="14.4">
      <c r="A9" s="7" t="s">
        <v>8</v>
      </c>
      <c r="B9" s="11">
        <f>VLOOKUP(A9,Dataset!A4:G43,7,)</f>
        <v>4.9000000000000004</v>
      </c>
      <c r="C9" s="11">
        <f>VLOOKUP($A9,Dataset!A4:N43,13,)</f>
        <v>10</v>
      </c>
      <c r="D9" s="11">
        <f>VLOOKUP($A9,Dataset!A4:R43,16,)</f>
        <v>4.9000000000000004</v>
      </c>
      <c r="E9" s="11">
        <f>VLOOKUP($A9,Dataset!A4:T43,19,)</f>
        <v>13.3</v>
      </c>
      <c r="F9" s="11">
        <f>VLOOKUP($A9,Dataset!A4:V43,21,)</f>
        <v>6.6</v>
      </c>
      <c r="H9" s="24" t="s">
        <v>84</v>
      </c>
    </row>
    <row r="10" spans="1:8" ht="14.4">
      <c r="A10" s="7" t="s">
        <v>11</v>
      </c>
      <c r="B10" s="11">
        <f>VLOOKUP(A10,Dataset!A5:G44,7,)</f>
        <v>9.4</v>
      </c>
      <c r="C10" s="11">
        <f>VLOOKUP($A10,Dataset!A5:N44,13,)</f>
        <v>19.2</v>
      </c>
      <c r="D10" s="11">
        <f>VLOOKUP($A10,Dataset!A5:R44,16,)</f>
        <v>9.4</v>
      </c>
      <c r="E10" s="11">
        <f>VLOOKUP($A10,Dataset!A5:T44,19,)</f>
        <v>28.3</v>
      </c>
      <c r="F10" s="11">
        <f>VLOOKUP($A10,Dataset!A5:V44,21,)</f>
        <v>13.8</v>
      </c>
    </row>
    <row r="11" spans="1:8" ht="14.4">
      <c r="A11" s="7" t="s">
        <v>12</v>
      </c>
      <c r="B11" s="11">
        <f>VLOOKUP(A11,Dataset!A6:G45,7,)</f>
        <v>11.6</v>
      </c>
      <c r="C11" s="11">
        <f>VLOOKUP($A11,Dataset!A6:N45,13,)</f>
        <v>23.6</v>
      </c>
      <c r="D11" s="11">
        <f>VLOOKUP($A11,Dataset!A6:R45,16,)</f>
        <v>11.6</v>
      </c>
      <c r="E11" s="11">
        <f>VLOOKUP($A11,Dataset!A6:T45,19,)</f>
        <v>35.200000000000003</v>
      </c>
      <c r="F11" s="11">
        <f>VLOOKUP($A11,Dataset!A6:V45,21,)</f>
        <v>17.3</v>
      </c>
    </row>
    <row r="12" spans="1:8" ht="14.4">
      <c r="A12" s="7" t="s">
        <v>14</v>
      </c>
      <c r="B12" s="11">
        <f>VLOOKUP(A12,Dataset!A7:G46,7,)</f>
        <v>18.399999999999999</v>
      </c>
      <c r="C12" s="11">
        <f>VLOOKUP($A12,Dataset!A7:N46,13,)</f>
        <v>37.200000000000003</v>
      </c>
      <c r="D12" s="11">
        <f>VLOOKUP($A12,Dataset!A7:R46,16,)</f>
        <v>18.399999999999999</v>
      </c>
      <c r="E12" s="11">
        <f>VLOOKUP($A12,Dataset!A7:T46,19,)</f>
        <v>55.6</v>
      </c>
      <c r="F12" s="11">
        <f>VLOOKUP($A12,Dataset!A7:V46,21,)</f>
        <v>27.5</v>
      </c>
    </row>
    <row r="13" spans="1:8" ht="14.4">
      <c r="A13" s="7" t="s">
        <v>15</v>
      </c>
      <c r="B13" s="11">
        <f>VLOOKUP(A13,Dataset!A8:G47,7,)</f>
        <v>0</v>
      </c>
      <c r="C13" s="11">
        <f>VLOOKUP($A13,Dataset!A8:N47,13,)</f>
        <v>0</v>
      </c>
      <c r="D13" s="11">
        <f>VLOOKUP($A13,Dataset!A8:R47,16,)</f>
        <v>0</v>
      </c>
      <c r="E13" s="11">
        <f>VLOOKUP($A13,Dataset!A8:T47,19,)</f>
        <v>0</v>
      </c>
      <c r="F13" s="11">
        <f>VLOOKUP($A13,Dataset!A8:V47,21,)</f>
        <v>0</v>
      </c>
    </row>
    <row r="14" spans="1:8" ht="14.4">
      <c r="A14" s="7" t="s">
        <v>16</v>
      </c>
      <c r="B14" s="11">
        <f>VLOOKUP(A14,Dataset!A9:G48,7,)</f>
        <v>21.9</v>
      </c>
      <c r="C14" s="11">
        <f>VLOOKUP($A14,Dataset!A9:N48,13,)</f>
        <v>42.3</v>
      </c>
      <c r="D14" s="11">
        <f>VLOOKUP($A14,Dataset!A9:R48,16,)</f>
        <v>21.9</v>
      </c>
      <c r="E14" s="11">
        <f>VLOOKUP($A14,Dataset!A9:T48,19,)</f>
        <v>61.5</v>
      </c>
      <c r="F14" s="11">
        <f>VLOOKUP($A14,Dataset!A9:V48,21,)</f>
        <v>32.1</v>
      </c>
    </row>
    <row r="15" spans="1:8" ht="14.4">
      <c r="A15" s="7" t="s">
        <v>18</v>
      </c>
      <c r="B15" s="11">
        <f>VLOOKUP(A15,Dataset!A10:G49,7,)</f>
        <v>26.8</v>
      </c>
      <c r="C15" s="11">
        <f>VLOOKUP($A15,Dataset!A10:N49,13,)</f>
        <v>54.6</v>
      </c>
      <c r="D15" s="11">
        <f>VLOOKUP($A15,Dataset!A10:R49,16,)</f>
        <v>26.8</v>
      </c>
      <c r="E15" s="11">
        <f>VLOOKUP($A15,Dataset!A10:T49,19,)</f>
        <v>79.599999999999994</v>
      </c>
      <c r="F15" s="11">
        <f>VLOOKUP($A15,Dataset!A10:V49,21,)</f>
        <v>39.299999999999997</v>
      </c>
    </row>
    <row r="16" spans="1:8" ht="14.4">
      <c r="A16" s="7" t="s">
        <v>20</v>
      </c>
      <c r="B16" s="11">
        <f>VLOOKUP(A16,Dataset!A11:G50,7,)</f>
        <v>28.5</v>
      </c>
      <c r="C16" s="11">
        <f>VLOOKUP($A16,Dataset!A11:N50,13,)</f>
        <v>58.3</v>
      </c>
      <c r="D16" s="11">
        <f>VLOOKUP($A16,Dataset!A11:R50,16,)</f>
        <v>28.5</v>
      </c>
      <c r="E16" s="11">
        <f>VLOOKUP($A16,Dataset!A11:T50,19,)</f>
        <v>85.4</v>
      </c>
      <c r="F16" s="11">
        <f>VLOOKUP($A16,Dataset!A11:V50,21,)</f>
        <v>42.3</v>
      </c>
    </row>
    <row r="17" spans="1:6" ht="14.4">
      <c r="A17" s="7" t="s">
        <v>22</v>
      </c>
      <c r="B17" s="11">
        <f>VLOOKUP(A17,Dataset!A12:G51,7,)</f>
        <v>30.7</v>
      </c>
      <c r="C17" s="11">
        <f>VLOOKUP($A17,Dataset!A12:N51,13,)</f>
        <v>62.5</v>
      </c>
      <c r="D17" s="11">
        <f>VLOOKUP($A17,Dataset!A12:R51,16,)</f>
        <v>30.7</v>
      </c>
      <c r="E17" s="11">
        <f>VLOOKUP($A17,Dataset!A12:T51,19,)</f>
        <v>92.1</v>
      </c>
      <c r="F17" s="11">
        <f>VLOOKUP($A17,Dataset!A12:V51,21,)</f>
        <v>45.5</v>
      </c>
    </row>
    <row r="18" spans="1:6" ht="14.4">
      <c r="A18" s="7" t="s">
        <v>23</v>
      </c>
      <c r="B18" s="11">
        <f>VLOOKUP(A18,Dataset!A13:G52,7,)</f>
        <v>33.799999999999997</v>
      </c>
      <c r="C18" s="11">
        <f>VLOOKUP($A18,Dataset!A13:N52,13,)</f>
        <v>67.900000000000006</v>
      </c>
      <c r="D18" s="11">
        <f>VLOOKUP($A18,Dataset!A13:R52,16,)</f>
        <v>33.799999999999997</v>
      </c>
      <c r="E18" s="11">
        <f>VLOOKUP($A18,Dataset!A13:T52,19,)</f>
        <v>101.3</v>
      </c>
      <c r="F18" s="11">
        <f>VLOOKUP($A18,Dataset!A13:V52,21,)</f>
        <v>50.1</v>
      </c>
    </row>
    <row r="19" spans="1:6" ht="14.4">
      <c r="A19" s="7" t="s">
        <v>24</v>
      </c>
      <c r="B19" s="11">
        <f>VLOOKUP(A19,Dataset!A14:G53,7,)</f>
        <v>34.700000000000003</v>
      </c>
      <c r="C19" s="11">
        <f>VLOOKUP($A19,Dataset!A14:N53,13,)</f>
        <v>70.8</v>
      </c>
      <c r="D19" s="11">
        <f>VLOOKUP($A19,Dataset!A14:R53,16,)</f>
        <v>34.700000000000003</v>
      </c>
      <c r="E19" s="11">
        <f>VLOOKUP($A19,Dataset!A14:T53,19,)</f>
        <v>106.1</v>
      </c>
      <c r="F19" s="11">
        <f>VLOOKUP($A19,Dataset!A14:V53,21,)</f>
        <v>52.3</v>
      </c>
    </row>
    <row r="20" spans="1:6" ht="14.4">
      <c r="A20" s="7" t="s">
        <v>28</v>
      </c>
      <c r="B20" s="11">
        <f>VLOOKUP(A20,Dataset!A15:G54,7,)</f>
        <v>0</v>
      </c>
      <c r="C20" s="11">
        <f>VLOOKUP($A20,Dataset!A15:N54,13,)</f>
        <v>0</v>
      </c>
      <c r="D20" s="11">
        <f>VLOOKUP($A20,Dataset!A15:R54,16,)</f>
        <v>0</v>
      </c>
      <c r="E20" s="11">
        <f>VLOOKUP($A20,Dataset!A15:T54,19,)</f>
        <v>0</v>
      </c>
      <c r="F20" s="11">
        <f>VLOOKUP($A20,Dataset!A15:V54,21,)</f>
        <v>0</v>
      </c>
    </row>
    <row r="21" spans="1:6" ht="14.4">
      <c r="A21" s="7" t="s">
        <v>57</v>
      </c>
      <c r="B21" s="11">
        <f>VLOOKUP(A21,Dataset!A16:G55,7,)</f>
        <v>41.3</v>
      </c>
      <c r="C21" s="11">
        <f>VLOOKUP($A21,Dataset!A16:N55,13,)</f>
        <v>83.5</v>
      </c>
      <c r="D21" s="11">
        <f>VLOOKUP($A21,Dataset!A16:R55,16,)</f>
        <v>41.3</v>
      </c>
      <c r="E21" s="11">
        <f>VLOOKUP($A21,Dataset!A16:T55,19,)</f>
        <v>124.4</v>
      </c>
      <c r="F21" s="11">
        <f>VLOOKUP($A21,Dataset!A16:V55,21,)</f>
        <v>61.4</v>
      </c>
    </row>
    <row r="22" spans="1:6" ht="14.4">
      <c r="A22" s="7" t="s">
        <v>58</v>
      </c>
      <c r="B22" s="11">
        <f>VLOOKUP(A22,Dataset!A17:G56,7,)</f>
        <v>-1</v>
      </c>
      <c r="C22" s="11">
        <f>VLOOKUP($A22,Dataset!A17:N56,13,)</f>
        <v>-1</v>
      </c>
      <c r="D22" s="11">
        <f>VLOOKUP($A22,Dataset!A17:R56,16,)</f>
        <v>-1</v>
      </c>
      <c r="E22" s="11">
        <f>VLOOKUP($A22,Dataset!A17:T56,19,)</f>
        <v>-1</v>
      </c>
      <c r="F22" s="11">
        <f>VLOOKUP($A22,Dataset!A17:V56,21,)</f>
        <v>-1</v>
      </c>
    </row>
    <row r="23" spans="1:6" ht="14.4">
      <c r="A23" s="7" t="s">
        <v>31</v>
      </c>
      <c r="B23" s="11">
        <f>VLOOKUP(A23,Dataset!A18:G57,7,)</f>
        <v>45</v>
      </c>
      <c r="C23" s="11">
        <f>VLOOKUP($A23,Dataset!A18:N57,13,)</f>
        <v>90.9</v>
      </c>
      <c r="D23" s="11">
        <f>VLOOKUP($A23,Dataset!A18:R57,16,)</f>
        <v>45</v>
      </c>
      <c r="E23" s="11">
        <f>VLOOKUP($A23,Dataset!A18:T57,19,)</f>
        <v>133.4</v>
      </c>
      <c r="F23" s="11">
        <f>VLOOKUP($A23,Dataset!A18:V57,21,)</f>
        <v>65.900000000000006</v>
      </c>
    </row>
    <row r="24" spans="1:6" ht="14.4">
      <c r="A24" s="7" t="s">
        <v>32</v>
      </c>
      <c r="B24" s="11">
        <f>VLOOKUP(A24,Dataset!A19:G58,7,)</f>
        <v>-1</v>
      </c>
      <c r="C24" s="11">
        <f>VLOOKUP($A24,Dataset!A19:N58,13,)</f>
        <v>-1</v>
      </c>
      <c r="D24" s="11">
        <f>VLOOKUP($A24,Dataset!A19:R58,16,)</f>
        <v>-1</v>
      </c>
      <c r="E24" s="11">
        <f>VLOOKUP($A24,Dataset!A19:T58,19,)</f>
        <v>-1</v>
      </c>
      <c r="F24" s="11">
        <f>VLOOKUP($A24,Dataset!A19:V58,21,)</f>
        <v>-1</v>
      </c>
    </row>
    <row r="25" spans="1:6" ht="14.4">
      <c r="A25" s="7" t="s">
        <v>34</v>
      </c>
      <c r="B25" s="11">
        <f>VLOOKUP(A25,Dataset!A20:G59,7,)</f>
        <v>43.3</v>
      </c>
      <c r="C25" s="11">
        <f>VLOOKUP($A25,Dataset!A20:N59,13,)</f>
        <v>87.6</v>
      </c>
      <c r="D25" s="11">
        <f>VLOOKUP($A25,Dataset!A20:R59,16,)</f>
        <v>43.3</v>
      </c>
      <c r="E25" s="11">
        <f>VLOOKUP($A25,Dataset!A20:T59,19,)</f>
        <v>128.6</v>
      </c>
      <c r="F25" s="11">
        <f>VLOOKUP($A25,Dataset!A20:V59,21,)</f>
        <v>63.6</v>
      </c>
    </row>
    <row r="26" spans="1:6" ht="14.4">
      <c r="A26" s="7" t="s">
        <v>37</v>
      </c>
      <c r="B26" s="11">
        <f>VLOOKUP(A26,Dataset!A21:G60,7,)</f>
        <v>49.1</v>
      </c>
      <c r="C26" s="11">
        <f>VLOOKUP($A26,Dataset!A21:N60,13,)</f>
        <v>99.5</v>
      </c>
      <c r="D26" s="11">
        <f>VLOOKUP($A26,Dataset!A21:R60,16,)</f>
        <v>49.1</v>
      </c>
      <c r="E26" s="11">
        <f>VLOOKUP($A26,Dataset!A21:T60,19,)</f>
        <v>146.80000000000001</v>
      </c>
      <c r="F26" s="11">
        <f>VLOOKUP($A26,Dataset!A21:V60,21,)</f>
        <v>72.8</v>
      </c>
    </row>
    <row r="27" spans="1:6" ht="14.4">
      <c r="A27" s="7" t="s">
        <v>39</v>
      </c>
      <c r="B27" s="11">
        <f>VLOOKUP(A27,Dataset!A22:G61,7,)</f>
        <v>51.8</v>
      </c>
      <c r="C27" s="11">
        <f>VLOOKUP($A27,Dataset!A22:N61,13,)</f>
        <v>104.5</v>
      </c>
      <c r="D27" s="11">
        <f>VLOOKUP($A27,Dataset!A22:R61,16,)</f>
        <v>51.8</v>
      </c>
      <c r="E27" s="11">
        <f>VLOOKUP($A27,Dataset!A22:T61,19,)</f>
        <v>156.4</v>
      </c>
      <c r="F27" s="11">
        <f>VLOOKUP($A27,Dataset!A22:V61,21,)</f>
        <v>77.2</v>
      </c>
    </row>
    <row r="28" spans="1:6" ht="14.4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>
      <c r="A29" s="18" t="s">
        <v>83</v>
      </c>
      <c r="B29" s="30">
        <f>MAX(B6:B27)</f>
        <v>51.8</v>
      </c>
      <c r="C29" s="30">
        <f t="shared" ref="C29:F29" si="1">MAX(C6:C27)</f>
        <v>104.5</v>
      </c>
      <c r="D29" s="30">
        <f t="shared" si="1"/>
        <v>51.8</v>
      </c>
      <c r="E29" s="30">
        <f t="shared" si="1"/>
        <v>156.4</v>
      </c>
      <c r="F29" s="30">
        <f t="shared" si="1"/>
        <v>77.2</v>
      </c>
    </row>
    <row r="30" spans="1:6" ht="14.4">
      <c r="A30" s="18" t="s">
        <v>84</v>
      </c>
      <c r="B30" s="30">
        <f>AVERAGE(B6:B27)</f>
        <v>20.827272727272728</v>
      </c>
      <c r="C30" s="30">
        <f t="shared" ref="C30:F30" si="2">AVERAGE(C6:C27)</f>
        <v>42.209090909090904</v>
      </c>
      <c r="D30" s="30">
        <f t="shared" si="2"/>
        <v>20.827272727272728</v>
      </c>
      <c r="E30" s="30">
        <f t="shared" si="2"/>
        <v>62.377272727272725</v>
      </c>
      <c r="F30" s="30">
        <f t="shared" si="2"/>
        <v>30.831818181818186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27" sqref="B27"/>
    </sheetView>
  </sheetViews>
  <sheetFormatPr defaultColWidth="11" defaultRowHeight="14.4"/>
  <cols>
    <col min="1" max="1" width="39.77734375" style="1" bestFit="1" customWidth="1"/>
    <col min="2" max="2" width="91.44140625" style="1" customWidth="1"/>
    <col min="3" max="16384" width="11" style="1"/>
  </cols>
  <sheetData>
    <row r="1" spans="1:10" s="39" customFormat="1" ht="21">
      <c r="A1" s="40" t="s">
        <v>56</v>
      </c>
      <c r="B1" s="39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34.799999999999997" customHeight="1">
      <c r="A5" s="41" t="s">
        <v>53</v>
      </c>
      <c r="B5" s="48" t="s">
        <v>181</v>
      </c>
    </row>
    <row r="6" spans="1:10" ht="54">
      <c r="A6" s="41" t="s">
        <v>153</v>
      </c>
      <c r="B6" s="48" t="s">
        <v>180</v>
      </c>
    </row>
    <row r="7" spans="1:10" ht="18">
      <c r="A7" s="41"/>
      <c r="B7" s="38"/>
    </row>
    <row r="9" spans="1:10" ht="23.4">
      <c r="A9" s="17" t="s">
        <v>165</v>
      </c>
      <c r="I9" s="2"/>
      <c r="J9" s="2"/>
    </row>
    <row r="10" spans="1:10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7" t="s">
        <v>162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Normal="100" workbookViewId="0">
      <selection activeCell="B7" sqref="B7"/>
    </sheetView>
  </sheetViews>
  <sheetFormatPr defaultColWidth="11" defaultRowHeight="13.8"/>
  <cols>
    <col min="1" max="1" width="28.21875" style="2" bestFit="1" customWidth="1"/>
    <col min="2" max="2" width="73.33203125" style="2" customWidth="1"/>
    <col min="3" max="3" width="31.8867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>
      <c r="A1" s="40" t="s">
        <v>85</v>
      </c>
      <c r="B1" s="39" t="s">
        <v>167</v>
      </c>
    </row>
    <row r="2" spans="1:8" ht="18">
      <c r="B2" s="38" t="s">
        <v>166</v>
      </c>
    </row>
    <row r="5" spans="1:8" ht="14.4">
      <c r="B5" s="1" t="s">
        <v>151</v>
      </c>
    </row>
    <row r="6" spans="1:8" ht="102" customHeight="1">
      <c r="A6" s="3" t="s">
        <v>53</v>
      </c>
      <c r="B6" s="50" t="s">
        <v>182</v>
      </c>
      <c r="C6" s="2" t="s">
        <v>184</v>
      </c>
    </row>
    <row r="7" spans="1:8" ht="41.4" customHeight="1">
      <c r="A7" s="3" t="s">
        <v>153</v>
      </c>
      <c r="B7" s="1" t="s">
        <v>183</v>
      </c>
    </row>
    <row r="10" spans="1:8" ht="23.4">
      <c r="A10" s="17" t="s">
        <v>162</v>
      </c>
    </row>
    <row r="11" spans="1:8" ht="15" thickBot="1">
      <c r="A11" s="31" t="s">
        <v>86</v>
      </c>
      <c r="B11" s="16" t="s">
        <v>87</v>
      </c>
      <c r="C11" s="16" t="s">
        <v>88</v>
      </c>
    </row>
    <row r="12" spans="1:8" ht="15" thickBot="1">
      <c r="A12" s="31">
        <v>44927</v>
      </c>
      <c r="B12" s="16" t="s">
        <v>59</v>
      </c>
      <c r="C12" s="16">
        <v>200</v>
      </c>
      <c r="D12" s="49"/>
    </row>
    <row r="13" spans="1:8" ht="15" thickBot="1">
      <c r="A13" s="31">
        <v>44928</v>
      </c>
      <c r="B13" s="16" t="s">
        <v>60</v>
      </c>
      <c r="C13" s="16">
        <v>20</v>
      </c>
      <c r="D13" s="49"/>
    </row>
    <row r="14" spans="1:8" ht="15" thickBot="1">
      <c r="A14" s="31">
        <v>44929</v>
      </c>
      <c r="B14" s="16" t="s">
        <v>61</v>
      </c>
      <c r="C14" s="16">
        <v>50</v>
      </c>
      <c r="D14" s="49"/>
      <c r="H14"/>
    </row>
    <row r="15" spans="1:8" ht="15" thickBot="1">
      <c r="A15" s="31">
        <v>44930</v>
      </c>
      <c r="B15" s="16" t="s">
        <v>62</v>
      </c>
      <c r="C15" s="16">
        <v>20</v>
      </c>
      <c r="D15" s="49"/>
      <c r="H15"/>
    </row>
    <row r="16" spans="1:8" ht="15" thickBot="1">
      <c r="A16" s="31">
        <v>44931</v>
      </c>
      <c r="B16" s="16" t="s">
        <v>63</v>
      </c>
      <c r="C16" s="16">
        <v>10</v>
      </c>
      <c r="D16" s="49"/>
      <c r="H16"/>
    </row>
    <row r="17" spans="1:8" ht="15" thickBot="1">
      <c r="A17" s="31">
        <v>44932</v>
      </c>
      <c r="B17" s="16" t="s">
        <v>154</v>
      </c>
      <c r="C17" s="16">
        <v>150</v>
      </c>
      <c r="D17" s="49"/>
      <c r="H17"/>
    </row>
    <row r="18" spans="1:8" ht="15" thickBot="1">
      <c r="A18" s="31">
        <v>44933</v>
      </c>
      <c r="B18" s="16" t="s">
        <v>155</v>
      </c>
      <c r="C18" s="16">
        <v>80</v>
      </c>
      <c r="D18" s="49"/>
      <c r="H18"/>
    </row>
    <row r="19" spans="1:8" ht="15" thickBot="1">
      <c r="A19" s="31">
        <v>44934</v>
      </c>
      <c r="B19" s="16" t="s">
        <v>156</v>
      </c>
      <c r="C19" s="16">
        <v>20</v>
      </c>
      <c r="D19" s="49"/>
      <c r="H19"/>
    </row>
    <row r="20" spans="1:8" ht="15" thickBot="1">
      <c r="A20" s="31">
        <v>44935</v>
      </c>
      <c r="B20" s="16" t="s">
        <v>157</v>
      </c>
      <c r="C20" s="16">
        <v>30</v>
      </c>
      <c r="D20" s="49"/>
      <c r="H20"/>
    </row>
    <row r="21" spans="1:8" ht="15" thickBot="1">
      <c r="A21" s="31">
        <v>44936</v>
      </c>
      <c r="B21" s="16" t="s">
        <v>158</v>
      </c>
      <c r="C21" s="16">
        <v>20</v>
      </c>
      <c r="D21" s="49"/>
      <c r="H21"/>
    </row>
    <row r="22" spans="1:8" ht="14.4">
      <c r="B22" s="51" t="s">
        <v>159</v>
      </c>
      <c r="C22" s="52">
        <f>SUM(C12:C21)</f>
        <v>600</v>
      </c>
      <c r="H22"/>
    </row>
    <row r="23" spans="1:8">
      <c r="H23"/>
    </row>
    <row r="24" spans="1:8">
      <c r="H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5" sqref="C5"/>
    </sheetView>
  </sheetViews>
  <sheetFormatPr defaultColWidth="11" defaultRowHeight="13.8"/>
  <cols>
    <col min="1" max="1" width="28.21875" style="2" bestFit="1" customWidth="1"/>
    <col min="2" max="2" width="11" style="2"/>
    <col min="3" max="3" width="66.44140625" style="2" customWidth="1"/>
    <col min="4" max="14" width="11" style="2"/>
    <col min="15" max="15" width="19.77734375" style="2" customWidth="1"/>
    <col min="16" max="16384" width="11" style="2"/>
  </cols>
  <sheetData>
    <row r="1" spans="1:14" ht="21">
      <c r="A1" s="40" t="s">
        <v>98</v>
      </c>
      <c r="B1" s="39" t="s">
        <v>175</v>
      </c>
    </row>
    <row r="3" spans="1:14" ht="14.4">
      <c r="B3" s="1" t="s">
        <v>151</v>
      </c>
    </row>
    <row r="4" spans="1:14" ht="18">
      <c r="A4" s="41" t="s">
        <v>53</v>
      </c>
      <c r="B4" s="1"/>
      <c r="C4" s="54" t="s">
        <v>189</v>
      </c>
    </row>
    <row r="5" spans="1:14" ht="18">
      <c r="A5" s="41" t="s">
        <v>153</v>
      </c>
      <c r="B5" s="1"/>
    </row>
    <row r="6" spans="1:14" ht="14.4">
      <c r="A6" s="3"/>
      <c r="B6" s="1"/>
    </row>
    <row r="8" spans="1:14" ht="23.4">
      <c r="A8" s="17" t="s">
        <v>162</v>
      </c>
      <c r="M8" s="17" t="s">
        <v>163</v>
      </c>
    </row>
    <row r="9" spans="1:14" ht="14.4">
      <c r="A9" s="34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53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>
      <c r="A10" s="34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53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>
      <c r="A11" s="34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53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>
      <c r="A12" s="34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53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>
      <c r="A13" t="s">
        <v>92</v>
      </c>
      <c r="B13" s="53">
        <v>185</v>
      </c>
      <c r="C13" s="53">
        <v>90</v>
      </c>
      <c r="D13" s="53">
        <v>60</v>
      </c>
      <c r="E13" s="53">
        <v>-1</v>
      </c>
      <c r="F13" s="53">
        <v>70</v>
      </c>
      <c r="G13" s="53">
        <v>120</v>
      </c>
      <c r="H13" s="53">
        <v>235</v>
      </c>
      <c r="I13" s="53">
        <v>300</v>
      </c>
      <c r="J13" s="53">
        <v>340</v>
      </c>
      <c r="M13" s="11">
        <v>10106</v>
      </c>
      <c r="N13" s="11" t="s">
        <v>92</v>
      </c>
    </row>
    <row r="14" spans="1:14" ht="14.4">
      <c r="A14" t="s">
        <v>93</v>
      </c>
      <c r="B14" s="53">
        <v>255</v>
      </c>
      <c r="C14" s="53">
        <v>160</v>
      </c>
      <c r="D14" s="53">
        <v>130</v>
      </c>
      <c r="E14" s="53">
        <v>70</v>
      </c>
      <c r="F14" s="53">
        <v>-1</v>
      </c>
      <c r="G14" s="53">
        <v>50</v>
      </c>
      <c r="H14" s="53">
        <v>165</v>
      </c>
      <c r="I14" s="53">
        <v>230</v>
      </c>
      <c r="J14" s="53">
        <v>270</v>
      </c>
      <c r="M14" s="11">
        <v>10108</v>
      </c>
      <c r="N14" s="11" t="s">
        <v>93</v>
      </c>
    </row>
    <row r="15" spans="1:14" ht="14.4">
      <c r="A15" s="34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53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>
      <c r="A16" s="34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53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>
      <c r="A17" s="34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53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>
      <c r="A18" s="34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53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>
      <c r="A21" s="17" t="s">
        <v>168</v>
      </c>
    </row>
    <row r="22" spans="1:14" ht="14.4">
      <c r="A22" s="13" t="s">
        <v>100</v>
      </c>
      <c r="B22" s="16" t="s">
        <v>101</v>
      </c>
      <c r="C22" s="15" t="s">
        <v>102</v>
      </c>
    </row>
    <row r="23" spans="1:14" ht="14.4">
      <c r="A23" s="7">
        <v>10100</v>
      </c>
      <c r="B23" s="11">
        <v>10102</v>
      </c>
      <c r="C23" s="42" t="e">
        <f>INDEX($B$9:$J$18,MATCH(A23,$A$10:$A$18,0),MATCH(B23,$B$9:$J$9,0))</f>
        <v>#N/A</v>
      </c>
    </row>
    <row r="24" spans="1:14" ht="14.4">
      <c r="A24" s="7">
        <v>10100</v>
      </c>
      <c r="B24" s="11">
        <v>10104</v>
      </c>
      <c r="C24" s="42" t="e">
        <f t="shared" ref="C24:C35" si="0">INDEX($B$9:$J$18,MATCH(A24,$A$10:$A$18,0),MATCH(B24,$B$9:$J$9,0))</f>
        <v>#N/A</v>
      </c>
    </row>
    <row r="25" spans="1:14" ht="14.4">
      <c r="A25" s="7">
        <v>10108</v>
      </c>
      <c r="B25" s="11">
        <v>10102</v>
      </c>
      <c r="C25" s="42" t="e">
        <f t="shared" si="0"/>
        <v>#N/A</v>
      </c>
    </row>
    <row r="26" spans="1:14" ht="14.4">
      <c r="A26" s="7">
        <v>10100</v>
      </c>
      <c r="B26" s="11">
        <v>10106</v>
      </c>
      <c r="C26" s="42" t="e">
        <f t="shared" si="0"/>
        <v>#N/A</v>
      </c>
    </row>
    <row r="27" spans="1:14" ht="14.4">
      <c r="A27" s="7">
        <v>10108</v>
      </c>
      <c r="B27" s="11">
        <v>10110</v>
      </c>
      <c r="C27" s="42" t="e">
        <f t="shared" si="0"/>
        <v>#N/A</v>
      </c>
    </row>
    <row r="28" spans="1:14" ht="14.4">
      <c r="A28" s="7">
        <v>10102</v>
      </c>
      <c r="B28" s="11">
        <v>10104</v>
      </c>
      <c r="C28" s="42" t="e">
        <f t="shared" si="0"/>
        <v>#N/A</v>
      </c>
    </row>
    <row r="29" spans="1:14" ht="14.4">
      <c r="A29" s="7">
        <v>10106</v>
      </c>
      <c r="B29" s="11">
        <v>10108</v>
      </c>
      <c r="C29" s="42" t="e">
        <f t="shared" si="0"/>
        <v>#N/A</v>
      </c>
    </row>
    <row r="30" spans="1:14" ht="14.4">
      <c r="A30" s="7">
        <v>10102</v>
      </c>
      <c r="B30" s="11">
        <v>10106</v>
      </c>
      <c r="C30" s="42" t="e">
        <f t="shared" si="0"/>
        <v>#N/A</v>
      </c>
    </row>
    <row r="31" spans="1:14" ht="14.4">
      <c r="A31" s="7">
        <v>10110</v>
      </c>
      <c r="B31" s="11">
        <v>10114</v>
      </c>
      <c r="C31" s="42" t="e">
        <f t="shared" si="0"/>
        <v>#N/A</v>
      </c>
    </row>
    <row r="32" spans="1:14" ht="14.4">
      <c r="A32" s="7">
        <v>10104</v>
      </c>
      <c r="B32" s="11">
        <v>10106</v>
      </c>
      <c r="C32" s="42" t="e">
        <f t="shared" si="0"/>
        <v>#N/A</v>
      </c>
    </row>
    <row r="33" spans="1:3" ht="14.4">
      <c r="A33" s="7">
        <v>10110</v>
      </c>
      <c r="B33" s="11">
        <v>10112</v>
      </c>
      <c r="C33" s="42" t="e">
        <f t="shared" si="0"/>
        <v>#N/A</v>
      </c>
    </row>
    <row r="34" spans="1:3" ht="14.4">
      <c r="A34" s="7">
        <v>10100</v>
      </c>
      <c r="B34" s="11">
        <v>10114</v>
      </c>
      <c r="C34" s="42" t="e">
        <f t="shared" si="0"/>
        <v>#N/A</v>
      </c>
    </row>
    <row r="35" spans="1:3" ht="14.4">
      <c r="A35" s="8">
        <v>10112</v>
      </c>
      <c r="B35" s="12">
        <v>10116</v>
      </c>
      <c r="C35" s="42" t="e">
        <f t="shared" si="0"/>
        <v>#N/A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Suraj</cp:lastModifiedBy>
  <dcterms:created xsi:type="dcterms:W3CDTF">2015-02-10T17:33:11Z</dcterms:created>
  <dcterms:modified xsi:type="dcterms:W3CDTF">2023-12-10T05:41:16Z</dcterms:modified>
</cp:coreProperties>
</file>